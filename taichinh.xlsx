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n\Downloads\"/>
    </mc:Choice>
  </mc:AlternateContent>
  <xr:revisionPtr revIDLastSave="0" documentId="13_ncr:1_{8768AAE6-98A6-416D-9A05-01C3BD210B12}" xr6:coauthVersionLast="47" xr6:coauthVersionMax="47" xr10:uidLastSave="{00000000-0000-0000-0000-000000000000}"/>
  <bookViews>
    <workbookView xWindow="-110" yWindow="-110" windowWidth="19420" windowHeight="10420" xr2:uid="{B2C93079-85B5-48C5-8FC1-258725E64143}"/>
  </bookViews>
  <sheets>
    <sheet name="Cost" sheetId="1" r:id="rId1"/>
    <sheet name="Dexuat_cred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2" l="1"/>
  <c r="C10" i="2"/>
  <c r="D10" i="2" s="1"/>
  <c r="C9" i="2"/>
  <c r="D9" i="2" s="1"/>
  <c r="E4" i="2"/>
  <c r="E3" i="2"/>
  <c r="E2" i="2"/>
  <c r="M14" i="1"/>
  <c r="L5" i="1"/>
  <c r="L6" i="1" s="1"/>
  <c r="L13" i="1" s="1"/>
  <c r="L3" i="1"/>
  <c r="E5" i="2" l="1"/>
  <c r="D11" i="2" s="1"/>
  <c r="D12" i="2" s="1"/>
  <c r="L14" i="1"/>
  <c r="L7" i="1"/>
  <c r="L15" i="1" s="1"/>
  <c r="L12" i="1"/>
  <c r="L16" i="1" l="1"/>
  <c r="L22" i="1" l="1"/>
  <c r="L20" i="1"/>
  <c r="L23" i="1" l="1"/>
  <c r="L21" i="1"/>
  <c r="L24" i="1" s="1"/>
  <c r="L26" i="1" s="1"/>
  <c r="L25" i="1" l="1"/>
</calcChain>
</file>

<file path=xl/sharedStrings.xml><?xml version="1.0" encoding="utf-8"?>
<sst xmlns="http://schemas.openxmlformats.org/spreadsheetml/2006/main" count="90" uniqueCount="69">
  <si>
    <t>STT</t>
  </si>
  <si>
    <t>Danh mục</t>
  </si>
  <si>
    <t>Tên chi phí</t>
  </si>
  <si>
    <t>Đơn vị</t>
  </si>
  <si>
    <t>Giới hạn</t>
  </si>
  <si>
    <t>Fixed cost</t>
  </si>
  <si>
    <t>Netlify host</t>
  </si>
  <si>
    <t>Giá</t>
  </si>
  <si>
    <t>USD/tháng</t>
  </si>
  <si>
    <t>1000 user</t>
  </si>
  <si>
    <t>Supabase database</t>
  </si>
  <si>
    <t>10k user + 8GB database</t>
  </si>
  <si>
    <t>Domain</t>
  </si>
  <si>
    <t>12 USD/năm</t>
  </si>
  <si>
    <t>Var cost</t>
  </si>
  <si>
    <t>Gemini 2.5 text</t>
  </si>
  <si>
    <t>USD/bài</t>
  </si>
  <si>
    <t>4USD/1M (input+output)</t>
  </si>
  <si>
    <t>1 bài ~ 250 token</t>
  </si>
  <si>
    <t>banana replicate</t>
  </si>
  <si>
    <t>USD/ảnh</t>
  </si>
  <si>
    <t>GPT image 1.5 replicate</t>
  </si>
  <si>
    <t>Qstash</t>
  </si>
  <si>
    <t>1$/100k msg</t>
  </si>
  <si>
    <t>USD/msg</t>
  </si>
  <si>
    <t>Ghi chú</t>
  </si>
  <si>
    <t>Demand bài /ngày</t>
  </si>
  <si>
    <t>Demand bài / tháng</t>
  </si>
  <si>
    <t>Số ảnh trên bài</t>
  </si>
  <si>
    <t>Số lượng ảnh / tháng</t>
  </si>
  <si>
    <t>Số lượng ảnh / ngày</t>
  </si>
  <si>
    <t>Demand trung bình 1 user</t>
  </si>
  <si>
    <t>Tổng msg</t>
  </si>
  <si>
    <t>Total</t>
  </si>
  <si>
    <t>COGS</t>
  </si>
  <si>
    <t>Hệ số</t>
  </si>
  <si>
    <t>Điểm hoàn vốn</t>
  </si>
  <si>
    <t>USD</t>
  </si>
  <si>
    <t>người đăng ký</t>
  </si>
  <si>
    <t>Giá gói most buy</t>
  </si>
  <si>
    <t>Hệ số 5 = Profit margin 80%</t>
  </si>
  <si>
    <t>Hệ số 2.5 = Profit margin 60%</t>
  </si>
  <si>
    <t>Hệ số 2 = Profit margin 50%</t>
  </si>
  <si>
    <t>Hệ số 3.33 = Profit margin 70%</t>
  </si>
  <si>
    <t>% biên đóng góp</t>
  </si>
  <si>
    <t>Affiliate tối đa 30% giá bán</t>
  </si>
  <si>
    <t>Affiliate tối đa 20% giá bán</t>
  </si>
  <si>
    <t>Affiliate tối đa 10% giá bán</t>
  </si>
  <si>
    <t>Affiliate tối đa 1% giá bán</t>
  </si>
  <si>
    <t>Biên đóng góp (chưa trừ fixed cost)</t>
  </si>
  <si>
    <t>Chi phí COGS trung bình 1 user USD</t>
  </si>
  <si>
    <t>Đơn vị USD</t>
  </si>
  <si>
    <t xml:space="preserve">affiliate </t>
  </si>
  <si>
    <t>% COGS</t>
  </si>
  <si>
    <t>Demand</t>
  </si>
  <si>
    <t>Bài</t>
  </si>
  <si>
    <t>Ảnh</t>
  </si>
  <si>
    <t>Ảnh = banana</t>
  </si>
  <si>
    <t>Ảnh = GPT</t>
  </si>
  <si>
    <t>Credit</t>
  </si>
  <si>
    <t>Total credit</t>
  </si>
  <si>
    <t>Làm trò</t>
  </si>
  <si>
    <t>Bài max</t>
  </si>
  <si>
    <t>Ảnh = banana max</t>
  </si>
  <si>
    <t>Ảnh = GPT max</t>
  </si>
  <si>
    <t>Số lượng</t>
  </si>
  <si>
    <t>Chi phí</t>
  </si>
  <si>
    <t>Max chi phí có thể</t>
  </si>
  <si>
    <t>11.35(299K) /3.03 = 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</si>
</sst>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2" fontId="0" fillId="0" borderId="0" xfId="0" applyNumberFormat="1"/>
    <xf numFmtId="2" fontId="0" fillId="0" borderId="1" xfId="0" applyNumberFormat="1" applyBorder="1"/>
    <xf numFmtId="0" fontId="0" fillId="0" borderId="2" xfId="0" applyBorder="1"/>
    <xf numFmtId="2" fontId="0" fillId="2" borderId="1" xfId="0" applyNumberFormat="1" applyFill="1" applyBorder="1"/>
    <xf numFmtId="164" fontId="0" fillId="0" borderId="1" xfId="2" applyNumberFormat="1" applyFont="1" applyBorder="1"/>
    <xf numFmtId="2" fontId="0" fillId="2" borderId="3" xfId="0" applyNumberFormat="1" applyFill="1" applyBorder="1"/>
    <xf numFmtId="9" fontId="0" fillId="0" borderId="1" xfId="2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1" xfId="0" applyNumberFormat="1" applyBorder="1"/>
    <xf numFmtId="43" fontId="0" fillId="0" borderId="0" xfId="1" quotePrefix="1" applyFont="1"/>
    <xf numFmtId="9" fontId="0" fillId="0" borderId="2" xfId="2" applyFont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5D4F-DC3A-4EBC-B8C7-F861A6715EFE}">
  <dimension ref="A1:Q26"/>
  <sheetViews>
    <sheetView tabSelected="1" topLeftCell="E1" zoomScaleNormal="100" workbookViewId="0">
      <selection activeCell="F3" sqref="F3"/>
    </sheetView>
  </sheetViews>
  <sheetFormatPr defaultRowHeight="14.5" x14ac:dyDescent="0.35"/>
  <cols>
    <col min="2" max="2" width="12.54296875" customWidth="1"/>
    <col min="3" max="4" width="20.81640625" customWidth="1"/>
    <col min="5" max="5" width="18.54296875" bestFit="1" customWidth="1"/>
    <col min="6" max="6" width="22.7265625" bestFit="1" customWidth="1"/>
    <col min="7" max="8" width="17.7265625" customWidth="1"/>
    <col min="9" max="9" width="5.81640625" customWidth="1"/>
    <col min="10" max="10" width="9.7265625" bestFit="1" customWidth="1"/>
    <col min="11" max="11" width="40.26953125" customWidth="1"/>
    <col min="12" max="12" width="32.26953125" bestFit="1" customWidth="1"/>
    <col min="13" max="13" width="17" customWidth="1"/>
    <col min="14" max="14" width="13.7265625" customWidth="1"/>
    <col min="15" max="15" width="28.453125" customWidth="1"/>
    <col min="16" max="16" width="27.7265625" bestFit="1" customWidth="1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7</v>
      </c>
      <c r="E1" s="4" t="s">
        <v>3</v>
      </c>
      <c r="F1" s="4" t="s">
        <v>4</v>
      </c>
      <c r="G1" s="4" t="s">
        <v>25</v>
      </c>
      <c r="K1" s="2"/>
      <c r="L1" s="2" t="s">
        <v>31</v>
      </c>
      <c r="M1" s="1"/>
    </row>
    <row r="2" spans="1:17" x14ac:dyDescent="0.35">
      <c r="A2" s="4"/>
      <c r="B2" s="4"/>
      <c r="C2" s="4"/>
      <c r="D2" s="4"/>
      <c r="E2" s="4"/>
      <c r="F2" s="4"/>
      <c r="G2" s="4"/>
      <c r="K2" s="2" t="s">
        <v>26</v>
      </c>
      <c r="L2" s="2">
        <v>1</v>
      </c>
      <c r="P2" t="s">
        <v>40</v>
      </c>
      <c r="Q2" t="s">
        <v>45</v>
      </c>
    </row>
    <row r="3" spans="1:17" x14ac:dyDescent="0.35">
      <c r="A3" s="4">
        <v>1</v>
      </c>
      <c r="B3" s="4" t="s">
        <v>5</v>
      </c>
      <c r="C3" s="4" t="s">
        <v>6</v>
      </c>
      <c r="D3" s="4">
        <v>9</v>
      </c>
      <c r="E3" s="4" t="s">
        <v>8</v>
      </c>
      <c r="F3" s="4" t="s">
        <v>9</v>
      </c>
      <c r="G3" s="4"/>
      <c r="K3" s="3" t="s">
        <v>27</v>
      </c>
      <c r="L3" s="3">
        <f>30*L2</f>
        <v>30</v>
      </c>
      <c r="M3" s="1"/>
      <c r="P3" t="s">
        <v>43</v>
      </c>
      <c r="Q3" t="s">
        <v>46</v>
      </c>
    </row>
    <row r="4" spans="1:17" x14ac:dyDescent="0.35">
      <c r="A4" s="4">
        <v>2</v>
      </c>
      <c r="B4" s="4" t="s">
        <v>5</v>
      </c>
      <c r="C4" s="4" t="s">
        <v>10</v>
      </c>
      <c r="D4" s="4">
        <v>25</v>
      </c>
      <c r="E4" s="4" t="s">
        <v>8</v>
      </c>
      <c r="F4" s="4" t="s">
        <v>11</v>
      </c>
      <c r="G4" s="4"/>
      <c r="K4" s="2" t="s">
        <v>28</v>
      </c>
      <c r="L4" s="2">
        <v>10</v>
      </c>
      <c r="M4" s="1"/>
      <c r="P4" t="s">
        <v>41</v>
      </c>
      <c r="Q4" t="s">
        <v>47</v>
      </c>
    </row>
    <row r="5" spans="1:17" x14ac:dyDescent="0.35">
      <c r="A5" s="4">
        <v>3</v>
      </c>
      <c r="B5" s="4" t="s">
        <v>5</v>
      </c>
      <c r="C5" s="4" t="s">
        <v>12</v>
      </c>
      <c r="D5" s="4">
        <v>0</v>
      </c>
      <c r="E5" s="4" t="s">
        <v>8</v>
      </c>
      <c r="F5" s="4" t="s">
        <v>13</v>
      </c>
      <c r="G5" s="4"/>
      <c r="K5" s="2" t="s">
        <v>30</v>
      </c>
      <c r="L5" s="4">
        <f>L4*L2</f>
        <v>10</v>
      </c>
      <c r="P5" t="s">
        <v>42</v>
      </c>
      <c r="Q5" t="s">
        <v>48</v>
      </c>
    </row>
    <row r="6" spans="1:17" x14ac:dyDescent="0.35">
      <c r="A6" s="4"/>
      <c r="B6" s="4"/>
      <c r="C6" s="4"/>
      <c r="D6" s="4"/>
      <c r="E6" s="4"/>
      <c r="F6" s="4"/>
      <c r="G6" s="4"/>
      <c r="K6" s="3" t="s">
        <v>29</v>
      </c>
      <c r="L6" s="5">
        <f>L5*30</f>
        <v>300</v>
      </c>
    </row>
    <row r="7" spans="1:17" x14ac:dyDescent="0.35">
      <c r="A7" s="4">
        <v>4</v>
      </c>
      <c r="B7" s="4" t="s">
        <v>14</v>
      </c>
      <c r="C7" s="4" t="s">
        <v>15</v>
      </c>
      <c r="D7" s="4">
        <v>1E-3</v>
      </c>
      <c r="E7" s="4" t="s">
        <v>16</v>
      </c>
      <c r="F7" s="4" t="s">
        <v>17</v>
      </c>
      <c r="G7" s="4" t="s">
        <v>18</v>
      </c>
      <c r="K7" s="2" t="s">
        <v>32</v>
      </c>
      <c r="L7" s="4">
        <f>L3+L6</f>
        <v>330</v>
      </c>
    </row>
    <row r="8" spans="1:17" x14ac:dyDescent="0.35">
      <c r="A8" s="4">
        <v>5</v>
      </c>
      <c r="B8" s="4" t="s">
        <v>14</v>
      </c>
      <c r="C8" s="4" t="s">
        <v>19</v>
      </c>
      <c r="D8" s="4">
        <v>0.04</v>
      </c>
      <c r="E8" s="4" t="s">
        <v>20</v>
      </c>
      <c r="F8" s="4"/>
      <c r="G8" s="4"/>
    </row>
    <row r="9" spans="1:17" x14ac:dyDescent="0.35">
      <c r="A9" s="4">
        <v>6</v>
      </c>
      <c r="B9" s="4" t="s">
        <v>14</v>
      </c>
      <c r="C9" s="4" t="s">
        <v>21</v>
      </c>
      <c r="D9" s="4">
        <v>0.01</v>
      </c>
      <c r="E9" s="4" t="s">
        <v>20</v>
      </c>
      <c r="F9" s="4"/>
      <c r="G9" s="4"/>
    </row>
    <row r="10" spans="1:17" x14ac:dyDescent="0.35">
      <c r="A10" s="4">
        <v>7</v>
      </c>
      <c r="B10" s="4" t="s">
        <v>14</v>
      </c>
      <c r="C10" s="4" t="s">
        <v>22</v>
      </c>
      <c r="D10" s="4">
        <v>1.0000000000000001E-5</v>
      </c>
      <c r="E10" s="4" t="s">
        <v>24</v>
      </c>
      <c r="F10" s="4" t="s">
        <v>23</v>
      </c>
      <c r="G10" s="4"/>
    </row>
    <row r="11" spans="1:17" x14ac:dyDescent="0.35">
      <c r="J11" s="4"/>
      <c r="K11" s="4"/>
      <c r="L11" s="2" t="s">
        <v>50</v>
      </c>
      <c r="M11" s="2"/>
    </row>
    <row r="12" spans="1:17" x14ac:dyDescent="0.35">
      <c r="J12" s="4" t="s">
        <v>14</v>
      </c>
      <c r="K12" s="2" t="s">
        <v>15</v>
      </c>
      <c r="L12" s="4">
        <f>D7*L3</f>
        <v>0.03</v>
      </c>
      <c r="M12" s="4"/>
    </row>
    <row r="13" spans="1:17" x14ac:dyDescent="0.35">
      <c r="J13" s="4" t="s">
        <v>14</v>
      </c>
      <c r="K13" s="2" t="s">
        <v>19</v>
      </c>
      <c r="L13" s="4">
        <f>L6*M13*D8</f>
        <v>0</v>
      </c>
      <c r="M13" s="4">
        <v>0</v>
      </c>
    </row>
    <row r="14" spans="1:17" x14ac:dyDescent="0.35">
      <c r="J14" s="4" t="s">
        <v>14</v>
      </c>
      <c r="K14" s="2" t="s">
        <v>21</v>
      </c>
      <c r="L14" s="4">
        <f>L6*M14*D9</f>
        <v>3</v>
      </c>
      <c r="M14" s="4">
        <f>1-M13</f>
        <v>1</v>
      </c>
    </row>
    <row r="15" spans="1:17" x14ac:dyDescent="0.35">
      <c r="J15" s="4" t="s">
        <v>14</v>
      </c>
      <c r="K15" s="2" t="s">
        <v>22</v>
      </c>
      <c r="L15" s="4">
        <f>L7*D10</f>
        <v>3.3000000000000004E-3</v>
      </c>
      <c r="M15" s="4"/>
    </row>
    <row r="16" spans="1:17" x14ac:dyDescent="0.35">
      <c r="J16" s="4"/>
      <c r="K16" s="3" t="s">
        <v>34</v>
      </c>
      <c r="L16" s="11">
        <f>SUM(L12:L15)</f>
        <v>3.0332999999999997</v>
      </c>
      <c r="M16" s="6"/>
    </row>
    <row r="17" spans="11:15" x14ac:dyDescent="0.35">
      <c r="K17" s="1"/>
      <c r="L17" s="6"/>
    </row>
    <row r="19" spans="11:15" x14ac:dyDescent="0.35">
      <c r="L19" t="s">
        <v>51</v>
      </c>
      <c r="N19" s="1" t="s">
        <v>35</v>
      </c>
    </row>
    <row r="20" spans="11:15" x14ac:dyDescent="0.35">
      <c r="K20" s="2" t="s">
        <v>39</v>
      </c>
      <c r="L20" s="7">
        <f>L16*N20</f>
        <v>11.374874999999999</v>
      </c>
      <c r="M20" s="4" t="s">
        <v>37</v>
      </c>
      <c r="N20" s="8">
        <v>3.75</v>
      </c>
      <c r="O20" s="17" t="s">
        <v>68</v>
      </c>
    </row>
    <row r="21" spans="11:15" x14ac:dyDescent="0.35">
      <c r="K21" s="2" t="s">
        <v>52</v>
      </c>
      <c r="L21" s="7">
        <f>L20*N21</f>
        <v>2.8437187499999999</v>
      </c>
      <c r="M21" s="4" t="s">
        <v>37</v>
      </c>
      <c r="N21" s="18">
        <v>0.25</v>
      </c>
    </row>
    <row r="22" spans="11:15" x14ac:dyDescent="0.35">
      <c r="K22" s="2" t="s">
        <v>34</v>
      </c>
      <c r="L22" s="7">
        <f>L16</f>
        <v>3.0332999999999997</v>
      </c>
      <c r="M22" s="4" t="s">
        <v>37</v>
      </c>
      <c r="N22" s="8"/>
    </row>
    <row r="23" spans="11:15" x14ac:dyDescent="0.35">
      <c r="K23" s="2" t="s">
        <v>53</v>
      </c>
      <c r="L23" s="12">
        <f>L22/L20</f>
        <v>0.26666666666666666</v>
      </c>
      <c r="M23" s="4"/>
      <c r="N23" s="8"/>
    </row>
    <row r="24" spans="11:15" x14ac:dyDescent="0.35">
      <c r="K24" s="2" t="s">
        <v>49</v>
      </c>
      <c r="L24" s="7">
        <f>L20-L21-L22</f>
        <v>5.497856249999999</v>
      </c>
      <c r="M24" s="4" t="s">
        <v>37</v>
      </c>
      <c r="N24" s="8"/>
    </row>
    <row r="25" spans="11:15" x14ac:dyDescent="0.35">
      <c r="K25" s="2" t="s">
        <v>44</v>
      </c>
      <c r="L25" s="10">
        <f>L24/L20</f>
        <v>0.48333333333333328</v>
      </c>
      <c r="M25" s="4"/>
    </row>
    <row r="26" spans="11:15" x14ac:dyDescent="0.35">
      <c r="K26" s="3" t="s">
        <v>36</v>
      </c>
      <c r="L26" s="9">
        <f>SUM(D3:D5)/L24</f>
        <v>6.1842286254756127</v>
      </c>
      <c r="M26" s="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2E78-7461-4D12-8A2F-95FA0500AD73}">
  <dimension ref="A1:E12"/>
  <sheetViews>
    <sheetView workbookViewId="0">
      <selection activeCell="G18" sqref="G18"/>
    </sheetView>
  </sheetViews>
  <sheetFormatPr defaultRowHeight="14.5" x14ac:dyDescent="0.35"/>
  <cols>
    <col min="2" max="2" width="17.54296875" bestFit="1" customWidth="1"/>
    <col min="5" max="5" width="10.81640625" bestFit="1" customWidth="1"/>
  </cols>
  <sheetData>
    <row r="1" spans="1:5" x14ac:dyDescent="0.35">
      <c r="A1" s="14"/>
      <c r="B1" s="14" t="s">
        <v>54</v>
      </c>
      <c r="C1" s="14"/>
      <c r="D1" s="14" t="s">
        <v>59</v>
      </c>
      <c r="E1" s="14" t="s">
        <v>60</v>
      </c>
    </row>
    <row r="2" spans="1:5" x14ac:dyDescent="0.35">
      <c r="A2" s="14" t="s">
        <v>55</v>
      </c>
      <c r="B2" s="14" t="s">
        <v>55</v>
      </c>
      <c r="C2" s="14">
        <v>30</v>
      </c>
      <c r="D2" s="14">
        <v>1</v>
      </c>
      <c r="E2" s="14">
        <f>D2*C2</f>
        <v>30</v>
      </c>
    </row>
    <row r="3" spans="1:5" x14ac:dyDescent="0.35">
      <c r="A3" s="19" t="s">
        <v>56</v>
      </c>
      <c r="B3" s="14" t="s">
        <v>57</v>
      </c>
      <c r="C3" s="14">
        <v>0</v>
      </c>
      <c r="D3" s="14">
        <v>40</v>
      </c>
      <c r="E3" s="14">
        <f>D3*C3</f>
        <v>0</v>
      </c>
    </row>
    <row r="4" spans="1:5" x14ac:dyDescent="0.35">
      <c r="A4" s="19"/>
      <c r="B4" s="14" t="s">
        <v>58</v>
      </c>
      <c r="C4" s="14">
        <v>300</v>
      </c>
      <c r="D4" s="14">
        <v>10</v>
      </c>
      <c r="E4" s="14">
        <f>D4*C4</f>
        <v>3000</v>
      </c>
    </row>
    <row r="5" spans="1:5" x14ac:dyDescent="0.35">
      <c r="B5" s="15" t="s">
        <v>33</v>
      </c>
      <c r="E5" s="13">
        <f>SUM(E2:E4)</f>
        <v>3030</v>
      </c>
    </row>
    <row r="6" spans="1:5" x14ac:dyDescent="0.35">
      <c r="B6" s="13" t="s">
        <v>61</v>
      </c>
      <c r="E6" s="13">
        <v>3500</v>
      </c>
    </row>
    <row r="8" spans="1:5" x14ac:dyDescent="0.35">
      <c r="C8" t="s">
        <v>65</v>
      </c>
      <c r="D8" t="s">
        <v>66</v>
      </c>
    </row>
    <row r="9" spans="1:5" x14ac:dyDescent="0.35">
      <c r="B9" s="14" t="s">
        <v>62</v>
      </c>
      <c r="C9" s="4">
        <f>E6/D2</f>
        <v>3500</v>
      </c>
      <c r="D9" s="4">
        <f>C9*Cost!D7</f>
        <v>3.5</v>
      </c>
    </row>
    <row r="10" spans="1:5" x14ac:dyDescent="0.35">
      <c r="B10" s="14" t="s">
        <v>63</v>
      </c>
      <c r="C10" s="16">
        <f>E6/D3</f>
        <v>87.5</v>
      </c>
      <c r="D10" s="4">
        <f>C10*Cost!D8</f>
        <v>3.5</v>
      </c>
    </row>
    <row r="11" spans="1:5" x14ac:dyDescent="0.35">
      <c r="B11" s="14" t="s">
        <v>64</v>
      </c>
      <c r="C11" s="4">
        <f>E6/D4</f>
        <v>350</v>
      </c>
      <c r="D11" s="4">
        <f>C11*Cost!D9</f>
        <v>3.5</v>
      </c>
    </row>
    <row r="12" spans="1:5" x14ac:dyDescent="0.35">
      <c r="B12" s="14" t="s">
        <v>67</v>
      </c>
      <c r="C12" s="4"/>
      <c r="D12" s="4">
        <f>MAX(D9:D11)</f>
        <v>3.5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Dexuat_credit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hoang</dc:creator>
  <cp:lastModifiedBy>son nguyen hoang</cp:lastModifiedBy>
  <dcterms:created xsi:type="dcterms:W3CDTF">2026-04-14T16:15:41Z</dcterms:created>
  <dcterms:modified xsi:type="dcterms:W3CDTF">2026-04-15T10:17:39Z</dcterms:modified>
</cp:coreProperties>
</file>